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URFACE PRO4\Desktop\Power Query Projects\LumaWorks_Retail_PowerQuery_Portfolio\"/>
    </mc:Choice>
  </mc:AlternateContent>
  <xr:revisionPtr revIDLastSave="0" documentId="13_ncr:1_{8CD0AB84-874B-4DAD-A4A0-013730F741FC}" xr6:coauthVersionLast="47" xr6:coauthVersionMax="47" xr10:uidLastSave="{00000000-0000-0000-0000-000000000000}"/>
  <bookViews>
    <workbookView xWindow="-98" yWindow="-98" windowWidth="20715" windowHeight="13155" xr2:uid="{73D4C4EE-71CF-41B0-8981-CB8A75878356}"/>
  </bookViews>
  <sheets>
    <sheet name="Campaign Metrics" sheetId="2" r:id="rId1"/>
    <sheet name="Config" sheetId="3" r:id="rId2"/>
  </sheets>
  <definedNames>
    <definedName name="ExternalData_1" localSheetId="0" hidden="1">'Campaign Metrics'!$A$1:$G$155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3" l="1" a="1"/>
  <c r="A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3BC80D3-C048-4185-B4C6-D8A486EFA0A1}" keepAlive="1" name="Query - Campaign Metrics1" description="Connection to the 'Campaign Metrics' query in the workbook." type="5" refreshedVersion="8" background="1" saveData="1">
    <dbPr connection="Provider=Microsoft.Mashup.OleDb.1;Data Source=$Workbook$;Location=&quot;Campaign Metrics&quot;;Extended Properties=&quot;&quot;" command="SELECT * FROM [Campaign Metric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<sst xmlns="http://schemas.openxmlformats.org/spreadsheetml/2006/main" count="317" uniqueCount="20">
  <si>
    <t>Date</t>
  </si>
  <si>
    <t>Campaign Name</t>
  </si>
  <si>
    <t>Location</t>
  </si>
  <si>
    <t>Impressions</t>
  </si>
  <si>
    <t>Clicks</t>
  </si>
  <si>
    <t>Units Sold</t>
  </si>
  <si>
    <t>Conversion</t>
  </si>
  <si>
    <t>Retail Kiosks</t>
  </si>
  <si>
    <t>Email Promotions</t>
  </si>
  <si>
    <t>Community Groups</t>
  </si>
  <si>
    <t>Partner Stores</t>
  </si>
  <si>
    <t>Streaming Ads</t>
  </si>
  <si>
    <t>Weekend Retail Special</t>
  </si>
  <si>
    <t>Winter Bundle Discount</t>
  </si>
  <si>
    <t>Community Partner Offers</t>
  </si>
  <si>
    <t>Member Rewards Mania</t>
  </si>
  <si>
    <t>Holiday Stock Promo</t>
  </si>
  <si>
    <t>Launch Week Spotlight</t>
  </si>
  <si>
    <t>SourcePath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</si>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</sst>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NumberFormat="1"/>
    <xf numFmtId="9" fontId="0" fillId="0" borderId="0" xfId="1" applyFont="1"/>
    <xf numFmtId="14" fontId="0" fillId="0" borderId="0" xfId="0" applyNumberFormat="1"/>
  </cellXfs>
  <cellStyles count="2">
    <cellStyle name="Normal" xfId="0" builtinId="0"/>
    <cellStyle name="Percent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DAF60DD-191C-4A89-84C0-DB248BB41668}" autoFormatId="16" applyNumberFormats="0" applyBorderFormats="0" applyFontFormats="0" applyPatternFormats="0" applyAlignmentFormats="0" applyWidthHeightFormats="0">
  <queryTableRefresh nextId="8">
    <queryTableFields count="7">
      <queryTableField id="1" name="Date" tableColumnId="1"/>
      <queryTableField id="2" name="Campaign Name" tableColumnId="2"/>
      <queryTableField id="3" name="Location" tableColumnId="3"/>
      <queryTableField id="4" name="Impressions" tableColumnId="4"/>
      <queryTableField id="5" name="Clicks" tableColumnId="5"/>
      <queryTableField id="6" name="Units Sold" tableColumnId="6"/>
      <queryTableField id="7" name="Conversion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FA8191-7B1E-4AE8-B5C8-DA7D2B293FEF}" name="Campaign_Metrics" displayName="Campaign_Metrics" ref="A1:G155" tableType="queryTable" totalsRowShown="0">
  <autoFilter ref="A1:G155" xr:uid="{FCFA8191-7B1E-4AE8-B5C8-DA7D2B293FEF}"/>
  <tableColumns count="7">
    <tableColumn id="1" xr3:uid="{DB6F4F87-C4BF-4EA1-AE4F-4E6F60CE79D3}" uniqueName="1" name="Date" queryTableFieldId="1" dataDxfId="6"/>
    <tableColumn id="2" xr3:uid="{40691127-6080-40A3-A5CF-2EFE2E01E6D9}" uniqueName="2" name="Campaign Name" queryTableFieldId="2" dataDxfId="5"/>
    <tableColumn id="3" xr3:uid="{36618980-839D-497E-8711-74D8DC9BE09E}" uniqueName="3" name="Location" queryTableFieldId="3" dataDxfId="4"/>
    <tableColumn id="4" xr3:uid="{75EED2E7-838E-4C86-A5FF-2B305D223E5D}" uniqueName="4" name="Impressions" queryTableFieldId="4" dataDxfId="3"/>
    <tableColumn id="5" xr3:uid="{E84B3D52-6442-4F54-AC46-671789FD4282}" uniqueName="5" name="Clicks" queryTableFieldId="5" dataDxfId="2"/>
    <tableColumn id="6" xr3:uid="{18D0107D-624F-41C0-8D95-364DE2DC3F4F}" uniqueName="6" name="Units Sold" queryTableFieldId="6" dataDxfId="1"/>
    <tableColumn id="7" xr3:uid="{335BFBD0-7884-4AF1-932D-E6A16FD2038C}" uniqueName="7" name="Conversion" queryTableFieldId="7" dataDxfId="0" dataCellStyle="Percent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3F3EE8-937F-4EFA-8B78-EB1BED8BA626}" name="tblSourcePath" displayName="tblSourcePath" ref="A1:A2" totalsRowShown="0">
  <autoFilter ref="A1:A2" xr:uid="{DE3F3EE8-937F-4EFA-8B78-EB1BED8BA626}"/>
  <tableColumns count="1">
    <tableColumn id="1" xr3:uid="{478B85B6-49BB-4A3B-8EB9-C576E7BF7B84}" name="SourcePath">
      <calculatedColumnFormula array="1">LEFT(CELL("filename",$A$1),FIND("[",CELL("filename",$A$1))-1)&amp;"source_data\Marketing_Data.xlsx"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88A2-AB0D-4395-B9CA-B3069AA72E9C}">
  <dimension ref="A1:G155"/>
  <sheetViews>
    <sheetView tabSelected="1" workbookViewId="0">
      <selection activeCell="B12" sqref="B12"/>
    </sheetView>
  </sheetViews>
  <sheetFormatPr defaultRowHeight="14.25" x14ac:dyDescent="0.45"/>
  <cols>
    <col min="1" max="1" width="9.9296875" bestFit="1" customWidth="1"/>
    <col min="2" max="2" width="21.1328125" bestFit="1" customWidth="1"/>
    <col min="3" max="3" width="16" bestFit="1" customWidth="1"/>
    <col min="4" max="4" width="12.53125" bestFit="1" customWidth="1"/>
    <col min="5" max="5" width="7.73046875" bestFit="1" customWidth="1"/>
    <col min="6" max="6" width="10.86328125" bestFit="1" customWidth="1"/>
    <col min="7" max="7" width="11.796875" style="2" bestFit="1" customWidth="1"/>
  </cols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</row>
    <row r="2" spans="1:7" x14ac:dyDescent="0.45">
      <c r="A2" s="3">
        <v>46016</v>
      </c>
      <c r="B2" s="1" t="s">
        <v>17</v>
      </c>
      <c r="C2" s="1" t="s">
        <v>7</v>
      </c>
      <c r="D2" s="1">
        <v>5039</v>
      </c>
      <c r="E2" s="1">
        <v>180</v>
      </c>
      <c r="F2" s="1"/>
    </row>
    <row r="3" spans="1:7" x14ac:dyDescent="0.45">
      <c r="A3" s="3">
        <v>45997</v>
      </c>
      <c r="B3" s="1" t="s">
        <v>17</v>
      </c>
      <c r="C3" s="1" t="s">
        <v>7</v>
      </c>
      <c r="D3" s="1">
        <v>2451</v>
      </c>
      <c r="E3" s="1">
        <v>329</v>
      </c>
      <c r="F3" s="1"/>
    </row>
    <row r="4" spans="1:7" x14ac:dyDescent="0.45">
      <c r="A4" s="3">
        <v>45882</v>
      </c>
      <c r="B4" s="1" t="s">
        <v>17</v>
      </c>
      <c r="C4" s="1" t="s">
        <v>7</v>
      </c>
      <c r="D4" s="1">
        <v>6442</v>
      </c>
      <c r="E4" s="1">
        <v>164</v>
      </c>
      <c r="F4" s="1">
        <v>109</v>
      </c>
      <c r="G4" s="2">
        <v>0.66463414634146345</v>
      </c>
    </row>
    <row r="5" spans="1:7" x14ac:dyDescent="0.45">
      <c r="A5" s="3">
        <v>45922</v>
      </c>
      <c r="B5" s="1" t="s">
        <v>17</v>
      </c>
      <c r="C5" s="1" t="s">
        <v>7</v>
      </c>
      <c r="D5" s="1">
        <v>5190</v>
      </c>
      <c r="E5" s="1">
        <v>120</v>
      </c>
      <c r="F5" s="1"/>
    </row>
    <row r="6" spans="1:7" x14ac:dyDescent="0.45">
      <c r="A6" s="3">
        <v>45973</v>
      </c>
      <c r="B6" s="1" t="s">
        <v>17</v>
      </c>
      <c r="C6" s="1" t="s">
        <v>7</v>
      </c>
      <c r="D6" s="1">
        <v>5524</v>
      </c>
      <c r="E6" s="1">
        <v>404</v>
      </c>
      <c r="F6" s="1">
        <v>48</v>
      </c>
      <c r="G6" s="2">
        <v>0.11881188118811881</v>
      </c>
    </row>
    <row r="7" spans="1:7" x14ac:dyDescent="0.45">
      <c r="A7" s="3">
        <v>45875</v>
      </c>
      <c r="B7" s="1" t="s">
        <v>17</v>
      </c>
      <c r="C7" s="1" t="s">
        <v>8</v>
      </c>
      <c r="D7" s="1">
        <v>2618</v>
      </c>
      <c r="E7" s="1">
        <v>471</v>
      </c>
      <c r="F7" s="1">
        <v>2</v>
      </c>
      <c r="G7" s="2">
        <v>4.246284501061571E-3</v>
      </c>
    </row>
    <row r="8" spans="1:7" x14ac:dyDescent="0.45">
      <c r="A8" s="3">
        <v>45899</v>
      </c>
      <c r="B8" s="1" t="s">
        <v>17</v>
      </c>
      <c r="C8" s="1" t="s">
        <v>8</v>
      </c>
      <c r="D8" s="1">
        <v>4548</v>
      </c>
      <c r="E8" s="1">
        <v>263</v>
      </c>
      <c r="F8" s="1">
        <v>76</v>
      </c>
      <c r="G8" s="2">
        <v>0.28897338403041822</v>
      </c>
    </row>
    <row r="9" spans="1:7" x14ac:dyDescent="0.45">
      <c r="A9" s="3">
        <v>46017</v>
      </c>
      <c r="B9" s="1" t="s">
        <v>17</v>
      </c>
      <c r="C9" s="1" t="s">
        <v>8</v>
      </c>
      <c r="D9" s="1">
        <v>7394</v>
      </c>
      <c r="E9" s="1">
        <v>379</v>
      </c>
      <c r="F9" s="1">
        <v>20</v>
      </c>
      <c r="G9" s="2">
        <v>5.2770448548812667E-2</v>
      </c>
    </row>
    <row r="10" spans="1:7" x14ac:dyDescent="0.45">
      <c r="A10" s="3">
        <v>45934</v>
      </c>
      <c r="B10" s="1" t="s">
        <v>17</v>
      </c>
      <c r="C10" s="1" t="s">
        <v>8</v>
      </c>
      <c r="D10" s="1">
        <v>5768</v>
      </c>
      <c r="E10" s="1">
        <v>197</v>
      </c>
      <c r="F10" s="1">
        <v>138</v>
      </c>
      <c r="G10" s="2">
        <v>0.70050761421319796</v>
      </c>
    </row>
    <row r="11" spans="1:7" x14ac:dyDescent="0.45">
      <c r="A11" s="3">
        <v>45894</v>
      </c>
      <c r="B11" s="1" t="s">
        <v>17</v>
      </c>
      <c r="C11" s="1" t="s">
        <v>9</v>
      </c>
      <c r="D11" s="1">
        <v>3239</v>
      </c>
      <c r="E11" s="1">
        <v>239</v>
      </c>
      <c r="F11" s="1">
        <v>37</v>
      </c>
      <c r="G11" s="2">
        <v>0.15481171548117154</v>
      </c>
    </row>
    <row r="12" spans="1:7" x14ac:dyDescent="0.45">
      <c r="A12" s="3">
        <v>45960</v>
      </c>
      <c r="B12" s="1" t="s">
        <v>17</v>
      </c>
      <c r="C12" s="1" t="s">
        <v>9</v>
      </c>
      <c r="D12" s="1">
        <v>6688</v>
      </c>
      <c r="E12" s="1">
        <v>218</v>
      </c>
      <c r="F12" s="1">
        <v>119</v>
      </c>
      <c r="G12" s="2">
        <v>0.54587155963302747</v>
      </c>
    </row>
    <row r="13" spans="1:7" x14ac:dyDescent="0.45">
      <c r="A13" s="3">
        <v>45956</v>
      </c>
      <c r="B13" s="1" t="s">
        <v>17</v>
      </c>
      <c r="C13" s="1" t="s">
        <v>9</v>
      </c>
      <c r="D13" s="1">
        <v>7439</v>
      </c>
      <c r="E13" s="1">
        <v>203</v>
      </c>
      <c r="F13" s="1">
        <v>196</v>
      </c>
      <c r="G13" s="2">
        <v>0.96551724137931039</v>
      </c>
    </row>
    <row r="14" spans="1:7" x14ac:dyDescent="0.45">
      <c r="A14" s="3">
        <v>45982</v>
      </c>
      <c r="B14" s="1" t="s">
        <v>17</v>
      </c>
      <c r="C14" s="1" t="s">
        <v>9</v>
      </c>
      <c r="D14" s="1">
        <v>7600</v>
      </c>
      <c r="E14" s="1">
        <v>202</v>
      </c>
      <c r="F14" s="1">
        <v>33</v>
      </c>
      <c r="G14" s="2">
        <v>0.16336633663366337</v>
      </c>
    </row>
    <row r="15" spans="1:7" x14ac:dyDescent="0.45">
      <c r="A15" s="3">
        <v>45927</v>
      </c>
      <c r="B15" s="1" t="s">
        <v>17</v>
      </c>
      <c r="C15" s="1" t="s">
        <v>9</v>
      </c>
      <c r="D15" s="1">
        <v>4238</v>
      </c>
      <c r="E15" s="1">
        <v>398</v>
      </c>
      <c r="F15" s="1">
        <v>111</v>
      </c>
      <c r="G15" s="2">
        <v>0.27889447236180903</v>
      </c>
    </row>
    <row r="16" spans="1:7" x14ac:dyDescent="0.45">
      <c r="A16" s="3">
        <v>45949</v>
      </c>
      <c r="B16" s="1" t="s">
        <v>17</v>
      </c>
      <c r="C16" s="1" t="s">
        <v>9</v>
      </c>
      <c r="D16" s="1">
        <v>3135</v>
      </c>
      <c r="E16" s="1">
        <v>144</v>
      </c>
      <c r="F16" s="1">
        <v>86</v>
      </c>
      <c r="G16" s="2">
        <v>0.59722222222222221</v>
      </c>
    </row>
    <row r="17" spans="1:7" x14ac:dyDescent="0.45">
      <c r="A17" s="3">
        <v>45944</v>
      </c>
      <c r="B17" s="1" t="s">
        <v>17</v>
      </c>
      <c r="C17" s="1" t="s">
        <v>9</v>
      </c>
      <c r="D17" s="1">
        <v>4763</v>
      </c>
      <c r="E17" s="1">
        <v>363</v>
      </c>
      <c r="F17" s="1">
        <v>206</v>
      </c>
      <c r="G17" s="2">
        <v>0.56749311294765836</v>
      </c>
    </row>
    <row r="18" spans="1:7" x14ac:dyDescent="0.45">
      <c r="A18" s="3">
        <v>45901</v>
      </c>
      <c r="B18" s="1" t="s">
        <v>17</v>
      </c>
      <c r="C18" s="1" t="s">
        <v>10</v>
      </c>
      <c r="D18" s="1">
        <v>2750</v>
      </c>
      <c r="E18" s="1">
        <v>303</v>
      </c>
      <c r="F18" s="1">
        <v>116</v>
      </c>
      <c r="G18" s="2">
        <v>0.38283828382838286</v>
      </c>
    </row>
    <row r="19" spans="1:7" x14ac:dyDescent="0.45">
      <c r="A19" s="3">
        <v>45977</v>
      </c>
      <c r="B19" s="1" t="s">
        <v>17</v>
      </c>
      <c r="C19" s="1" t="s">
        <v>10</v>
      </c>
      <c r="D19" s="1">
        <v>5412</v>
      </c>
      <c r="E19" s="1">
        <v>412</v>
      </c>
      <c r="F19" s="1">
        <v>282</v>
      </c>
      <c r="G19" s="2">
        <v>0.68446601941747576</v>
      </c>
    </row>
    <row r="20" spans="1:7" x14ac:dyDescent="0.45">
      <c r="A20" s="3">
        <v>45941</v>
      </c>
      <c r="B20" s="1" t="s">
        <v>17</v>
      </c>
      <c r="C20" s="1" t="s">
        <v>10</v>
      </c>
      <c r="D20" s="1">
        <v>2190</v>
      </c>
      <c r="E20" s="1">
        <v>220</v>
      </c>
      <c r="F20" s="1">
        <v>25</v>
      </c>
      <c r="G20" s="2">
        <v>0.11363636363636363</v>
      </c>
    </row>
    <row r="21" spans="1:7" x14ac:dyDescent="0.45">
      <c r="A21" s="3">
        <v>45936</v>
      </c>
      <c r="B21" s="1" t="s">
        <v>17</v>
      </c>
      <c r="C21" s="1" t="s">
        <v>11</v>
      </c>
      <c r="D21" s="1">
        <v>3685</v>
      </c>
      <c r="E21" s="1">
        <v>468</v>
      </c>
      <c r="F21" s="1">
        <v>222</v>
      </c>
      <c r="G21" s="2">
        <v>0.47435897435897434</v>
      </c>
    </row>
    <row r="22" spans="1:7" x14ac:dyDescent="0.45">
      <c r="A22" s="3">
        <v>45995</v>
      </c>
      <c r="B22" s="1" t="s">
        <v>17</v>
      </c>
      <c r="C22" s="1" t="s">
        <v>11</v>
      </c>
      <c r="D22" s="1">
        <v>4215</v>
      </c>
      <c r="E22" s="1">
        <v>479</v>
      </c>
      <c r="F22" s="1">
        <v>250</v>
      </c>
      <c r="G22" s="2">
        <v>0.52192066805845516</v>
      </c>
    </row>
    <row r="23" spans="1:7" x14ac:dyDescent="0.45">
      <c r="A23" s="3">
        <v>45952</v>
      </c>
      <c r="B23" s="1" t="s">
        <v>17</v>
      </c>
      <c r="C23" s="1" t="s">
        <v>11</v>
      </c>
      <c r="D23" s="1">
        <v>3439</v>
      </c>
      <c r="E23" s="1">
        <v>314</v>
      </c>
      <c r="F23" s="1">
        <v>71</v>
      </c>
      <c r="G23" s="2">
        <v>0.22611464968152867</v>
      </c>
    </row>
    <row r="24" spans="1:7" x14ac:dyDescent="0.45">
      <c r="A24" s="3">
        <v>45909</v>
      </c>
      <c r="B24" s="1" t="s">
        <v>17</v>
      </c>
      <c r="C24" s="1" t="s">
        <v>11</v>
      </c>
      <c r="D24" s="1">
        <v>7272</v>
      </c>
      <c r="E24" s="1">
        <v>91</v>
      </c>
      <c r="F24" s="1">
        <v>34</v>
      </c>
      <c r="G24" s="2">
        <v>0.37362637362637363</v>
      </c>
    </row>
    <row r="25" spans="1:7" x14ac:dyDescent="0.45">
      <c r="A25" s="3">
        <v>46015</v>
      </c>
      <c r="B25" s="1" t="s">
        <v>17</v>
      </c>
      <c r="C25" s="1" t="s">
        <v>11</v>
      </c>
      <c r="D25" s="1">
        <v>2072</v>
      </c>
      <c r="E25" s="1">
        <v>236</v>
      </c>
      <c r="F25" s="1">
        <v>87</v>
      </c>
      <c r="G25" s="2">
        <v>0.36864406779661019</v>
      </c>
    </row>
    <row r="26" spans="1:7" x14ac:dyDescent="0.45">
      <c r="A26" s="3">
        <v>45970</v>
      </c>
      <c r="B26" s="1" t="s">
        <v>17</v>
      </c>
      <c r="C26" s="1" t="s">
        <v>11</v>
      </c>
      <c r="D26" s="1">
        <v>3409</v>
      </c>
      <c r="E26" s="1">
        <v>372</v>
      </c>
      <c r="F26" s="1">
        <v>366</v>
      </c>
      <c r="G26" s="2">
        <v>0.9838709677419355</v>
      </c>
    </row>
    <row r="27" spans="1:7" x14ac:dyDescent="0.45">
      <c r="A27" s="3">
        <v>46004</v>
      </c>
      <c r="B27" s="1" t="s">
        <v>12</v>
      </c>
      <c r="C27" s="1" t="s">
        <v>7</v>
      </c>
      <c r="D27" s="1">
        <v>3702</v>
      </c>
      <c r="E27" s="1">
        <v>481</v>
      </c>
      <c r="F27" s="1">
        <v>293</v>
      </c>
      <c r="G27" s="2">
        <v>0.60914760914760913</v>
      </c>
    </row>
    <row r="28" spans="1:7" x14ac:dyDescent="0.45">
      <c r="A28" s="3">
        <v>46002</v>
      </c>
      <c r="B28" s="1" t="s">
        <v>12</v>
      </c>
      <c r="C28" s="1" t="s">
        <v>7</v>
      </c>
      <c r="D28" s="1">
        <v>5428</v>
      </c>
      <c r="E28" s="1">
        <v>373</v>
      </c>
      <c r="F28" s="1">
        <v>268</v>
      </c>
      <c r="G28" s="2">
        <v>0.71849865951742631</v>
      </c>
    </row>
    <row r="29" spans="1:7" x14ac:dyDescent="0.45">
      <c r="A29" s="3">
        <v>45979</v>
      </c>
      <c r="B29" s="1" t="s">
        <v>12</v>
      </c>
      <c r="C29" s="1" t="s">
        <v>8</v>
      </c>
      <c r="D29" s="1">
        <v>3913</v>
      </c>
      <c r="E29" s="1">
        <v>286</v>
      </c>
      <c r="F29" s="1">
        <v>268</v>
      </c>
      <c r="G29" s="2">
        <v>0.93706293706293708</v>
      </c>
    </row>
    <row r="30" spans="1:7" x14ac:dyDescent="0.45">
      <c r="A30" s="3">
        <v>45996</v>
      </c>
      <c r="B30" s="1" t="s">
        <v>12</v>
      </c>
      <c r="C30" s="1" t="s">
        <v>8</v>
      </c>
      <c r="D30" s="1">
        <v>7567</v>
      </c>
      <c r="E30" s="1">
        <v>423</v>
      </c>
      <c r="F30" s="1">
        <v>6</v>
      </c>
      <c r="G30" s="2">
        <v>1.4184397163120567E-2</v>
      </c>
    </row>
    <row r="31" spans="1:7" x14ac:dyDescent="0.45">
      <c r="A31" s="3">
        <v>45874</v>
      </c>
      <c r="B31" s="1" t="s">
        <v>12</v>
      </c>
      <c r="C31" s="1" t="s">
        <v>8</v>
      </c>
      <c r="D31" s="1">
        <v>4948</v>
      </c>
      <c r="E31" s="1">
        <v>321</v>
      </c>
      <c r="F31" s="1">
        <v>7</v>
      </c>
      <c r="G31" s="2">
        <v>2.1806853582554516E-2</v>
      </c>
    </row>
    <row r="32" spans="1:7" x14ac:dyDescent="0.45">
      <c r="A32" s="3">
        <v>45902</v>
      </c>
      <c r="B32" s="1" t="s">
        <v>12</v>
      </c>
      <c r="C32" s="1" t="s">
        <v>8</v>
      </c>
      <c r="D32" s="1">
        <v>2838</v>
      </c>
      <c r="E32" s="1">
        <v>520</v>
      </c>
      <c r="F32" s="1">
        <v>204</v>
      </c>
      <c r="G32" s="2">
        <v>0.3923076923076923</v>
      </c>
    </row>
    <row r="33" spans="1:7" x14ac:dyDescent="0.45">
      <c r="A33" s="3">
        <v>45919</v>
      </c>
      <c r="B33" s="1" t="s">
        <v>12</v>
      </c>
      <c r="C33" s="1" t="s">
        <v>8</v>
      </c>
      <c r="D33" s="1">
        <v>3391</v>
      </c>
      <c r="E33" s="1">
        <v>242</v>
      </c>
      <c r="F33" s="1">
        <v>39</v>
      </c>
      <c r="G33" s="2">
        <v>0.16115702479338842</v>
      </c>
    </row>
    <row r="34" spans="1:7" x14ac:dyDescent="0.45">
      <c r="A34" s="3">
        <v>45980</v>
      </c>
      <c r="B34" s="1" t="s">
        <v>12</v>
      </c>
      <c r="C34" s="1" t="s">
        <v>8</v>
      </c>
      <c r="D34" s="1">
        <v>7600</v>
      </c>
      <c r="E34" s="1">
        <v>111</v>
      </c>
      <c r="F34" s="1">
        <v>21</v>
      </c>
      <c r="G34" s="2">
        <v>0.1891891891891892</v>
      </c>
    </row>
    <row r="35" spans="1:7" x14ac:dyDescent="0.45">
      <c r="A35" s="3">
        <v>45968</v>
      </c>
      <c r="B35" s="1" t="s">
        <v>12</v>
      </c>
      <c r="C35" s="1" t="s">
        <v>8</v>
      </c>
      <c r="D35" s="1">
        <v>1902</v>
      </c>
      <c r="E35" s="1">
        <v>265</v>
      </c>
      <c r="F35" s="1">
        <v>14</v>
      </c>
      <c r="G35" s="2">
        <v>5.2830188679245285E-2</v>
      </c>
    </row>
    <row r="36" spans="1:7" x14ac:dyDescent="0.45">
      <c r="A36" s="3">
        <v>45951</v>
      </c>
      <c r="B36" s="1" t="s">
        <v>12</v>
      </c>
      <c r="C36" s="1" t="s">
        <v>8</v>
      </c>
      <c r="D36" s="1">
        <v>2094</v>
      </c>
      <c r="E36" s="1">
        <v>454</v>
      </c>
      <c r="F36" s="1">
        <v>234</v>
      </c>
      <c r="G36" s="2">
        <v>0.51541850220264318</v>
      </c>
    </row>
    <row r="37" spans="1:7" x14ac:dyDescent="0.45">
      <c r="A37" s="3">
        <v>45955</v>
      </c>
      <c r="B37" s="1" t="s">
        <v>12</v>
      </c>
      <c r="C37" s="1" t="s">
        <v>8</v>
      </c>
      <c r="D37" s="1">
        <v>2755</v>
      </c>
      <c r="E37" s="1">
        <v>164</v>
      </c>
      <c r="F37" s="1">
        <v>30</v>
      </c>
      <c r="G37" s="2">
        <v>0.18292682926829268</v>
      </c>
    </row>
    <row r="38" spans="1:7" x14ac:dyDescent="0.45">
      <c r="A38" s="3">
        <v>45910</v>
      </c>
      <c r="B38" s="1" t="s">
        <v>12</v>
      </c>
      <c r="C38" s="1" t="s">
        <v>9</v>
      </c>
      <c r="D38" s="1">
        <v>2283</v>
      </c>
      <c r="E38" s="1">
        <v>520</v>
      </c>
      <c r="F38" s="1">
        <v>58</v>
      </c>
      <c r="G38" s="2">
        <v>0.11153846153846154</v>
      </c>
    </row>
    <row r="39" spans="1:7" x14ac:dyDescent="0.45">
      <c r="A39" s="3">
        <v>45900</v>
      </c>
      <c r="B39" s="1" t="s">
        <v>12</v>
      </c>
      <c r="C39" s="1" t="s">
        <v>9</v>
      </c>
      <c r="D39" s="1">
        <v>6168</v>
      </c>
      <c r="E39" s="1">
        <v>520</v>
      </c>
      <c r="F39" s="1">
        <v>62</v>
      </c>
      <c r="G39" s="2">
        <v>0.11923076923076924</v>
      </c>
    </row>
    <row r="40" spans="1:7" x14ac:dyDescent="0.45">
      <c r="A40" s="3">
        <v>45924</v>
      </c>
      <c r="B40" s="1" t="s">
        <v>12</v>
      </c>
      <c r="C40" s="1" t="s">
        <v>9</v>
      </c>
      <c r="D40" s="1">
        <v>5521</v>
      </c>
      <c r="E40" s="1">
        <v>223</v>
      </c>
      <c r="F40" s="1">
        <v>151</v>
      </c>
      <c r="G40" s="2">
        <v>0.67713004484304928</v>
      </c>
    </row>
    <row r="41" spans="1:7" x14ac:dyDescent="0.45">
      <c r="A41" s="3">
        <v>45889</v>
      </c>
      <c r="B41" s="1" t="s">
        <v>12</v>
      </c>
      <c r="C41" s="1" t="s">
        <v>9</v>
      </c>
      <c r="D41" s="1">
        <v>6018</v>
      </c>
      <c r="E41" s="1">
        <v>183</v>
      </c>
      <c r="F41" s="1">
        <v>62</v>
      </c>
      <c r="G41" s="2">
        <v>0.33879781420765026</v>
      </c>
    </row>
    <row r="42" spans="1:7" x14ac:dyDescent="0.45">
      <c r="A42" s="3">
        <v>45932</v>
      </c>
      <c r="B42" s="1" t="s">
        <v>12</v>
      </c>
      <c r="C42" s="1" t="s">
        <v>9</v>
      </c>
      <c r="D42" s="1">
        <v>3055</v>
      </c>
      <c r="E42" s="1">
        <v>371</v>
      </c>
      <c r="F42" s="1">
        <v>20</v>
      </c>
      <c r="G42" s="2">
        <v>5.3908355795148251E-2</v>
      </c>
    </row>
    <row r="43" spans="1:7" x14ac:dyDescent="0.45">
      <c r="A43" s="3">
        <v>45966</v>
      </c>
      <c r="B43" s="1" t="s">
        <v>12</v>
      </c>
      <c r="C43" s="1" t="s">
        <v>9</v>
      </c>
      <c r="D43" s="1">
        <v>2026</v>
      </c>
      <c r="E43" s="1">
        <v>101</v>
      </c>
      <c r="F43" s="1">
        <v>9</v>
      </c>
      <c r="G43" s="2">
        <v>8.9108910891089105E-2</v>
      </c>
    </row>
    <row r="44" spans="1:7" x14ac:dyDescent="0.45">
      <c r="A44" s="3">
        <v>45950</v>
      </c>
      <c r="B44" s="1" t="s">
        <v>12</v>
      </c>
      <c r="C44" s="1" t="s">
        <v>9</v>
      </c>
      <c r="D44" s="1">
        <v>4994</v>
      </c>
      <c r="E44" s="1">
        <v>250</v>
      </c>
      <c r="F44" s="1">
        <v>65</v>
      </c>
      <c r="G44" s="2">
        <v>0.26</v>
      </c>
    </row>
    <row r="45" spans="1:7" x14ac:dyDescent="0.45">
      <c r="A45" s="3">
        <v>45933</v>
      </c>
      <c r="B45" s="1" t="s">
        <v>12</v>
      </c>
      <c r="C45" s="1" t="s">
        <v>10</v>
      </c>
      <c r="D45" s="1">
        <v>5334</v>
      </c>
      <c r="E45" s="1">
        <v>347</v>
      </c>
      <c r="F45" s="1">
        <v>93</v>
      </c>
      <c r="G45" s="2">
        <v>0.2680115273775216</v>
      </c>
    </row>
    <row r="46" spans="1:7" x14ac:dyDescent="0.45">
      <c r="A46" s="3">
        <v>45948</v>
      </c>
      <c r="B46" s="1" t="s">
        <v>12</v>
      </c>
      <c r="C46" s="1" t="s">
        <v>10</v>
      </c>
      <c r="D46" s="1">
        <v>1800</v>
      </c>
      <c r="E46" s="1">
        <v>337</v>
      </c>
      <c r="F46" s="1">
        <v>140</v>
      </c>
      <c r="G46" s="2">
        <v>0.41543026706231456</v>
      </c>
    </row>
    <row r="47" spans="1:7" x14ac:dyDescent="0.45">
      <c r="A47" s="3">
        <v>46011</v>
      </c>
      <c r="B47" s="1" t="s">
        <v>12</v>
      </c>
      <c r="C47" s="1" t="s">
        <v>10</v>
      </c>
      <c r="D47" s="1">
        <v>5556</v>
      </c>
      <c r="E47" s="1">
        <v>227</v>
      </c>
      <c r="F47" s="1">
        <v>134</v>
      </c>
      <c r="G47" s="2">
        <v>0.5903083700440529</v>
      </c>
    </row>
    <row r="48" spans="1:7" x14ac:dyDescent="0.45">
      <c r="A48" s="3">
        <v>45983</v>
      </c>
      <c r="B48" s="1" t="s">
        <v>12</v>
      </c>
      <c r="C48" s="1" t="s">
        <v>10</v>
      </c>
      <c r="D48" s="1">
        <v>3255</v>
      </c>
      <c r="E48" s="1">
        <v>331</v>
      </c>
      <c r="F48" s="1">
        <v>92</v>
      </c>
      <c r="G48" s="2">
        <v>0.27794561933534745</v>
      </c>
    </row>
    <row r="49" spans="1:7" x14ac:dyDescent="0.45">
      <c r="A49" s="3">
        <v>45998</v>
      </c>
      <c r="B49" s="1" t="s">
        <v>12</v>
      </c>
      <c r="C49" s="1" t="s">
        <v>10</v>
      </c>
      <c r="D49" s="1">
        <v>4212</v>
      </c>
      <c r="E49" s="1">
        <v>476</v>
      </c>
      <c r="F49" s="1">
        <v>419</v>
      </c>
      <c r="G49" s="2">
        <v>0.88025210084033612</v>
      </c>
    </row>
    <row r="50" spans="1:7" x14ac:dyDescent="0.45">
      <c r="A50" s="3">
        <v>46013</v>
      </c>
      <c r="B50" s="1" t="s">
        <v>12</v>
      </c>
      <c r="C50" s="1" t="s">
        <v>10</v>
      </c>
      <c r="D50" s="1">
        <v>3415</v>
      </c>
      <c r="E50" s="1">
        <v>411</v>
      </c>
      <c r="F50" s="1">
        <v>84</v>
      </c>
      <c r="G50" s="2">
        <v>0.20437956204379562</v>
      </c>
    </row>
    <row r="51" spans="1:7" x14ac:dyDescent="0.45">
      <c r="A51" s="3">
        <v>45871</v>
      </c>
      <c r="B51" s="1" t="s">
        <v>12</v>
      </c>
      <c r="C51" s="1" t="s">
        <v>10</v>
      </c>
      <c r="D51" s="1">
        <v>5124</v>
      </c>
      <c r="E51" s="1">
        <v>402</v>
      </c>
      <c r="F51" s="1">
        <v>285</v>
      </c>
      <c r="G51" s="2">
        <v>0.70895522388059706</v>
      </c>
    </row>
    <row r="52" spans="1:7" x14ac:dyDescent="0.45">
      <c r="A52" s="3">
        <v>45921</v>
      </c>
      <c r="B52" s="1" t="s">
        <v>12</v>
      </c>
      <c r="C52" s="1" t="s">
        <v>10</v>
      </c>
      <c r="D52" s="1">
        <v>5802</v>
      </c>
      <c r="E52" s="1">
        <v>304</v>
      </c>
      <c r="F52" s="1">
        <v>22</v>
      </c>
      <c r="G52" s="2">
        <v>7.2368421052631582E-2</v>
      </c>
    </row>
    <row r="53" spans="1:7" x14ac:dyDescent="0.45">
      <c r="A53" s="3">
        <v>45879</v>
      </c>
      <c r="B53" s="1" t="s">
        <v>12</v>
      </c>
      <c r="C53" s="1" t="s">
        <v>10</v>
      </c>
      <c r="D53" s="1">
        <v>4549</v>
      </c>
      <c r="E53" s="1">
        <v>387</v>
      </c>
      <c r="F53" s="1">
        <v>82</v>
      </c>
      <c r="G53" s="2">
        <v>0.21188630490956073</v>
      </c>
    </row>
    <row r="54" spans="1:7" x14ac:dyDescent="0.45">
      <c r="A54" s="3">
        <v>45880</v>
      </c>
      <c r="B54" s="1" t="s">
        <v>12</v>
      </c>
      <c r="C54" s="1" t="s">
        <v>10</v>
      </c>
      <c r="D54" s="1">
        <v>7497</v>
      </c>
      <c r="E54" s="1">
        <v>194</v>
      </c>
      <c r="F54" s="1">
        <v>151</v>
      </c>
      <c r="G54" s="2">
        <v>0.77835051546391754</v>
      </c>
    </row>
    <row r="55" spans="1:7" x14ac:dyDescent="0.45">
      <c r="A55" s="3">
        <v>45870</v>
      </c>
      <c r="B55" s="1" t="s">
        <v>12</v>
      </c>
      <c r="C55" s="1" t="s">
        <v>11</v>
      </c>
      <c r="D55" s="1">
        <v>5228</v>
      </c>
      <c r="E55" s="1">
        <v>115</v>
      </c>
      <c r="F55" s="1">
        <v>18</v>
      </c>
      <c r="G55" s="2">
        <v>0.15652173913043479</v>
      </c>
    </row>
    <row r="56" spans="1:7" x14ac:dyDescent="0.45">
      <c r="A56" s="3">
        <v>46001</v>
      </c>
      <c r="B56" s="1" t="s">
        <v>12</v>
      </c>
      <c r="C56" s="1" t="s">
        <v>11</v>
      </c>
      <c r="D56" s="1">
        <v>7600</v>
      </c>
      <c r="E56" s="1">
        <v>118</v>
      </c>
      <c r="F56" s="1">
        <v>112</v>
      </c>
      <c r="G56" s="2">
        <v>0.94915254237288138</v>
      </c>
    </row>
    <row r="57" spans="1:7" x14ac:dyDescent="0.45">
      <c r="A57" s="3">
        <v>45991</v>
      </c>
      <c r="B57" s="1" t="s">
        <v>12</v>
      </c>
      <c r="C57" s="1" t="s">
        <v>11</v>
      </c>
      <c r="D57" s="1">
        <v>7600</v>
      </c>
      <c r="E57" s="1">
        <v>296</v>
      </c>
      <c r="F57" s="1">
        <v>193</v>
      </c>
      <c r="G57" s="2">
        <v>0.65202702702702697</v>
      </c>
    </row>
    <row r="58" spans="1:7" x14ac:dyDescent="0.45">
      <c r="A58" s="3">
        <v>45925</v>
      </c>
      <c r="B58" s="1" t="s">
        <v>12</v>
      </c>
      <c r="C58" s="1" t="s">
        <v>11</v>
      </c>
      <c r="D58" s="1">
        <v>2845</v>
      </c>
      <c r="E58" s="1">
        <v>426</v>
      </c>
      <c r="F58" s="1">
        <v>91</v>
      </c>
      <c r="G58" s="2">
        <v>0.21361502347417841</v>
      </c>
    </row>
    <row r="59" spans="1:7" x14ac:dyDescent="0.45">
      <c r="A59" s="3">
        <v>45986</v>
      </c>
      <c r="B59" s="1" t="s">
        <v>13</v>
      </c>
      <c r="C59" s="1" t="s">
        <v>7</v>
      </c>
      <c r="D59" s="1">
        <v>5612</v>
      </c>
      <c r="E59" s="1">
        <v>314</v>
      </c>
      <c r="F59" s="1">
        <v>152</v>
      </c>
      <c r="G59" s="2">
        <v>0.48407643312101911</v>
      </c>
    </row>
    <row r="60" spans="1:7" x14ac:dyDescent="0.45">
      <c r="A60" s="3">
        <v>45937</v>
      </c>
      <c r="B60" s="1" t="s">
        <v>13</v>
      </c>
      <c r="C60" s="1" t="s">
        <v>7</v>
      </c>
      <c r="D60" s="1">
        <v>3724</v>
      </c>
      <c r="E60" s="1">
        <v>399</v>
      </c>
      <c r="F60" s="1">
        <v>394</v>
      </c>
      <c r="G60" s="2">
        <v>0.98746867167919794</v>
      </c>
    </row>
    <row r="61" spans="1:7" x14ac:dyDescent="0.45">
      <c r="A61" s="3">
        <v>45999</v>
      </c>
      <c r="B61" s="1" t="s">
        <v>13</v>
      </c>
      <c r="C61" s="1" t="s">
        <v>8</v>
      </c>
      <c r="D61" s="1">
        <v>5800</v>
      </c>
      <c r="E61" s="1">
        <v>347</v>
      </c>
      <c r="F61" s="1">
        <v>292</v>
      </c>
      <c r="G61" s="2">
        <v>0.84149855907780979</v>
      </c>
    </row>
    <row r="62" spans="1:7" x14ac:dyDescent="0.45">
      <c r="A62" s="3">
        <v>46010</v>
      </c>
      <c r="B62" s="1" t="s">
        <v>13</v>
      </c>
      <c r="C62" s="1" t="s">
        <v>8</v>
      </c>
      <c r="D62" s="1">
        <v>2195</v>
      </c>
      <c r="E62" s="1">
        <v>309</v>
      </c>
      <c r="F62" s="1">
        <v>129</v>
      </c>
      <c r="G62" s="2">
        <v>0.41747572815533979</v>
      </c>
    </row>
    <row r="63" spans="1:7" x14ac:dyDescent="0.45">
      <c r="A63" s="3">
        <v>45958</v>
      </c>
      <c r="B63" s="1" t="s">
        <v>13</v>
      </c>
      <c r="C63" s="1" t="s">
        <v>8</v>
      </c>
      <c r="D63" s="1">
        <v>5680</v>
      </c>
      <c r="E63" s="1">
        <v>349</v>
      </c>
      <c r="F63" s="1">
        <v>56</v>
      </c>
      <c r="G63" s="2">
        <v>0.16045845272206305</v>
      </c>
    </row>
    <row r="64" spans="1:7" x14ac:dyDescent="0.45">
      <c r="A64" s="3">
        <v>45892</v>
      </c>
      <c r="B64" s="1" t="s">
        <v>13</v>
      </c>
      <c r="C64" s="1" t="s">
        <v>8</v>
      </c>
      <c r="D64" s="1">
        <v>6804</v>
      </c>
      <c r="E64" s="1">
        <v>230</v>
      </c>
      <c r="F64" s="1">
        <v>24</v>
      </c>
      <c r="G64" s="2">
        <v>0.10434782608695652</v>
      </c>
    </row>
    <row r="65" spans="1:7" x14ac:dyDescent="0.45">
      <c r="A65" s="3">
        <v>45964</v>
      </c>
      <c r="B65" s="1" t="s">
        <v>13</v>
      </c>
      <c r="C65" s="1" t="s">
        <v>9</v>
      </c>
      <c r="D65" s="1">
        <v>5941</v>
      </c>
      <c r="E65" s="1">
        <v>161</v>
      </c>
      <c r="F65" s="1">
        <v>154</v>
      </c>
      <c r="G65" s="2">
        <v>0.95652173913043481</v>
      </c>
    </row>
    <row r="66" spans="1:7" x14ac:dyDescent="0.45">
      <c r="A66" s="3">
        <v>45896</v>
      </c>
      <c r="B66" s="1" t="s">
        <v>13</v>
      </c>
      <c r="C66" s="1" t="s">
        <v>9</v>
      </c>
      <c r="D66" s="1">
        <v>7600</v>
      </c>
      <c r="E66" s="1">
        <v>469</v>
      </c>
      <c r="F66" s="1">
        <v>35</v>
      </c>
      <c r="G66" s="2">
        <v>7.4626865671641784E-2</v>
      </c>
    </row>
    <row r="67" spans="1:7" x14ac:dyDescent="0.45">
      <c r="A67" s="3">
        <v>45994</v>
      </c>
      <c r="B67" s="1" t="s">
        <v>13</v>
      </c>
      <c r="C67" s="1" t="s">
        <v>9</v>
      </c>
      <c r="D67" s="1">
        <v>5690</v>
      </c>
      <c r="E67" s="1">
        <v>367</v>
      </c>
      <c r="F67" s="1">
        <v>15</v>
      </c>
      <c r="G67" s="2">
        <v>4.0871934604904632E-2</v>
      </c>
    </row>
    <row r="68" spans="1:7" x14ac:dyDescent="0.45">
      <c r="A68" s="3">
        <v>45873</v>
      </c>
      <c r="B68" s="1" t="s">
        <v>13</v>
      </c>
      <c r="C68" s="1" t="s">
        <v>9</v>
      </c>
      <c r="D68" s="1">
        <v>3524</v>
      </c>
      <c r="E68" s="1">
        <v>121</v>
      </c>
      <c r="F68" s="1">
        <v>27</v>
      </c>
      <c r="G68" s="2">
        <v>0.2231404958677686</v>
      </c>
    </row>
    <row r="69" spans="1:7" x14ac:dyDescent="0.45">
      <c r="A69" s="3">
        <v>46012</v>
      </c>
      <c r="B69" s="1" t="s">
        <v>13</v>
      </c>
      <c r="C69" s="1" t="s">
        <v>9</v>
      </c>
      <c r="D69" s="1">
        <v>2132</v>
      </c>
      <c r="E69" s="1">
        <v>236</v>
      </c>
      <c r="F69" s="1">
        <v>146</v>
      </c>
      <c r="G69" s="2">
        <v>0.61864406779661019</v>
      </c>
    </row>
    <row r="70" spans="1:7" x14ac:dyDescent="0.45">
      <c r="A70" s="3">
        <v>45897</v>
      </c>
      <c r="B70" s="1" t="s">
        <v>13</v>
      </c>
      <c r="C70" s="1" t="s">
        <v>9</v>
      </c>
      <c r="D70" s="1">
        <v>3007</v>
      </c>
      <c r="E70" s="1">
        <v>380</v>
      </c>
      <c r="F70" s="1">
        <v>85</v>
      </c>
      <c r="G70" s="2">
        <v>0.22368421052631579</v>
      </c>
    </row>
    <row r="71" spans="1:7" x14ac:dyDescent="0.45">
      <c r="A71" s="3">
        <v>45878</v>
      </c>
      <c r="B71" s="1" t="s">
        <v>13</v>
      </c>
      <c r="C71" s="1" t="s">
        <v>9</v>
      </c>
      <c r="D71" s="1">
        <v>5361</v>
      </c>
      <c r="E71" s="1">
        <v>467</v>
      </c>
      <c r="F71" s="1">
        <v>228</v>
      </c>
      <c r="G71" s="2">
        <v>0.48822269807280516</v>
      </c>
    </row>
    <row r="72" spans="1:7" x14ac:dyDescent="0.45">
      <c r="A72" s="3">
        <v>45945</v>
      </c>
      <c r="B72" s="1" t="s">
        <v>13</v>
      </c>
      <c r="C72" s="1" t="s">
        <v>9</v>
      </c>
      <c r="D72" s="1">
        <v>4982</v>
      </c>
      <c r="E72" s="1">
        <v>170</v>
      </c>
      <c r="F72" s="1">
        <v>117</v>
      </c>
      <c r="G72" s="2">
        <v>0.68823529411764706</v>
      </c>
    </row>
    <row r="73" spans="1:7" x14ac:dyDescent="0.45">
      <c r="A73" s="3">
        <v>45962</v>
      </c>
      <c r="B73" s="1" t="s">
        <v>13</v>
      </c>
      <c r="C73" s="1" t="s">
        <v>9</v>
      </c>
      <c r="D73" s="1">
        <v>6830</v>
      </c>
      <c r="E73" s="1">
        <v>172</v>
      </c>
      <c r="F73" s="1">
        <v>158</v>
      </c>
      <c r="G73" s="2">
        <v>0.91860465116279066</v>
      </c>
    </row>
    <row r="74" spans="1:7" x14ac:dyDescent="0.45">
      <c r="A74" s="3">
        <v>45918</v>
      </c>
      <c r="B74" s="1" t="s">
        <v>13</v>
      </c>
      <c r="C74" s="1" t="s">
        <v>9</v>
      </c>
      <c r="D74" s="1">
        <v>4334</v>
      </c>
      <c r="E74" s="1">
        <v>277</v>
      </c>
      <c r="F74" s="1">
        <v>82</v>
      </c>
      <c r="G74" s="2">
        <v>0.29602888086642598</v>
      </c>
    </row>
    <row r="75" spans="1:7" x14ac:dyDescent="0.45">
      <c r="A75" s="3">
        <v>45913</v>
      </c>
      <c r="B75" s="1" t="s">
        <v>13</v>
      </c>
      <c r="C75" s="1" t="s">
        <v>9</v>
      </c>
      <c r="D75" s="1">
        <v>5012</v>
      </c>
      <c r="E75" s="1">
        <v>117</v>
      </c>
      <c r="F75" s="1">
        <v>12</v>
      </c>
      <c r="G75" s="2">
        <v>0.10256410256410256</v>
      </c>
    </row>
    <row r="76" spans="1:7" x14ac:dyDescent="0.45">
      <c r="A76" s="3">
        <v>45929</v>
      </c>
      <c r="B76" s="1" t="s">
        <v>13</v>
      </c>
      <c r="C76" s="1" t="s">
        <v>9</v>
      </c>
      <c r="D76" s="1">
        <v>4928</v>
      </c>
      <c r="E76" s="1">
        <v>250</v>
      </c>
      <c r="F76" s="1">
        <v>50</v>
      </c>
      <c r="G76" s="2">
        <v>0.2</v>
      </c>
    </row>
    <row r="77" spans="1:7" x14ac:dyDescent="0.45">
      <c r="A77" s="3">
        <v>45911</v>
      </c>
      <c r="B77" s="1" t="s">
        <v>13</v>
      </c>
      <c r="C77" s="1" t="s">
        <v>10</v>
      </c>
      <c r="D77" s="1">
        <v>5157</v>
      </c>
      <c r="E77" s="1">
        <v>235</v>
      </c>
      <c r="F77" s="1">
        <v>220</v>
      </c>
      <c r="G77" s="2">
        <v>0.93617021276595747</v>
      </c>
    </row>
    <row r="78" spans="1:7" x14ac:dyDescent="0.45">
      <c r="A78" s="3">
        <v>45912</v>
      </c>
      <c r="B78" s="1" t="s">
        <v>13</v>
      </c>
      <c r="C78" s="1" t="s">
        <v>10</v>
      </c>
      <c r="D78" s="1">
        <v>7139</v>
      </c>
      <c r="E78" s="1">
        <v>271</v>
      </c>
      <c r="F78" s="1">
        <v>118</v>
      </c>
      <c r="G78" s="2">
        <v>0.43542435424354242</v>
      </c>
    </row>
    <row r="79" spans="1:7" x14ac:dyDescent="0.45">
      <c r="A79" s="3">
        <v>45905</v>
      </c>
      <c r="B79" s="1" t="s">
        <v>13</v>
      </c>
      <c r="C79" s="1" t="s">
        <v>10</v>
      </c>
      <c r="D79" s="1">
        <v>2348</v>
      </c>
      <c r="E79" s="1">
        <v>465</v>
      </c>
      <c r="F79" s="1">
        <v>225</v>
      </c>
      <c r="G79" s="2">
        <v>0.4838709677419355</v>
      </c>
    </row>
    <row r="80" spans="1:7" x14ac:dyDescent="0.45">
      <c r="A80" s="3">
        <v>45887</v>
      </c>
      <c r="B80" s="1" t="s">
        <v>13</v>
      </c>
      <c r="C80" s="1" t="s">
        <v>10</v>
      </c>
      <c r="D80" s="1">
        <v>4285</v>
      </c>
      <c r="E80" s="1">
        <v>241</v>
      </c>
      <c r="F80" s="1">
        <v>139</v>
      </c>
      <c r="G80" s="2">
        <v>0.57676348547717837</v>
      </c>
    </row>
    <row r="81" spans="1:7" x14ac:dyDescent="0.45">
      <c r="A81" s="3">
        <v>45906</v>
      </c>
      <c r="B81" s="1" t="s">
        <v>13</v>
      </c>
      <c r="C81" s="1" t="s">
        <v>10</v>
      </c>
      <c r="D81" s="1">
        <v>5023</v>
      </c>
      <c r="E81" s="1">
        <v>362</v>
      </c>
      <c r="F81" s="1">
        <v>303</v>
      </c>
      <c r="G81" s="2">
        <v>0.83701657458563539</v>
      </c>
    </row>
    <row r="82" spans="1:7" x14ac:dyDescent="0.45">
      <c r="A82" s="3">
        <v>46003</v>
      </c>
      <c r="B82" s="1" t="s">
        <v>13</v>
      </c>
      <c r="C82" s="1" t="s">
        <v>10</v>
      </c>
      <c r="D82" s="1">
        <v>5705</v>
      </c>
      <c r="E82" s="1">
        <v>369</v>
      </c>
      <c r="F82" s="1">
        <v>304</v>
      </c>
      <c r="G82" s="2">
        <v>0.82384823848238486</v>
      </c>
    </row>
    <row r="83" spans="1:7" x14ac:dyDescent="0.45">
      <c r="A83" s="3">
        <v>45959</v>
      </c>
      <c r="B83" s="1" t="s">
        <v>13</v>
      </c>
      <c r="C83" s="1" t="s">
        <v>10</v>
      </c>
      <c r="D83" s="1">
        <v>5219</v>
      </c>
      <c r="E83" s="1">
        <v>364</v>
      </c>
      <c r="F83" s="1">
        <v>191</v>
      </c>
      <c r="G83" s="2">
        <v>0.52472527472527475</v>
      </c>
    </row>
    <row r="84" spans="1:7" x14ac:dyDescent="0.45">
      <c r="A84" s="3">
        <v>45895</v>
      </c>
      <c r="B84" s="1" t="s">
        <v>13</v>
      </c>
      <c r="C84" s="1" t="s">
        <v>10</v>
      </c>
      <c r="D84" s="1">
        <v>4185</v>
      </c>
      <c r="E84" s="1">
        <v>130</v>
      </c>
      <c r="F84" s="1">
        <v>45</v>
      </c>
      <c r="G84" s="2">
        <v>0.34615384615384615</v>
      </c>
    </row>
    <row r="85" spans="1:7" x14ac:dyDescent="0.45">
      <c r="A85" s="3">
        <v>45886</v>
      </c>
      <c r="B85" s="1" t="s">
        <v>13</v>
      </c>
      <c r="C85" s="1" t="s">
        <v>10</v>
      </c>
      <c r="D85" s="1">
        <v>4707</v>
      </c>
      <c r="E85" s="1">
        <v>196</v>
      </c>
      <c r="F85" s="1">
        <v>53</v>
      </c>
      <c r="G85" s="2">
        <v>0.27040816326530615</v>
      </c>
    </row>
    <row r="86" spans="1:7" x14ac:dyDescent="0.45">
      <c r="A86" s="3">
        <v>45969</v>
      </c>
      <c r="B86" s="1" t="s">
        <v>13</v>
      </c>
      <c r="C86" s="1" t="s">
        <v>10</v>
      </c>
      <c r="D86" s="1">
        <v>3924</v>
      </c>
      <c r="E86" s="1">
        <v>276</v>
      </c>
      <c r="F86" s="1">
        <v>20</v>
      </c>
      <c r="G86" s="2">
        <v>7.2463768115942032E-2</v>
      </c>
    </row>
    <row r="87" spans="1:7" x14ac:dyDescent="0.45">
      <c r="A87" s="3">
        <v>45938</v>
      </c>
      <c r="B87" s="1" t="s">
        <v>13</v>
      </c>
      <c r="C87" s="1" t="s">
        <v>10</v>
      </c>
      <c r="D87" s="1">
        <v>4701</v>
      </c>
      <c r="E87" s="1">
        <v>236</v>
      </c>
      <c r="F87" s="1">
        <v>100</v>
      </c>
      <c r="G87" s="2">
        <v>0.42372881355932202</v>
      </c>
    </row>
    <row r="88" spans="1:7" x14ac:dyDescent="0.45">
      <c r="A88" s="3">
        <v>45940</v>
      </c>
      <c r="B88" s="1" t="s">
        <v>13</v>
      </c>
      <c r="C88" s="1" t="s">
        <v>11</v>
      </c>
      <c r="D88" s="1">
        <v>4326</v>
      </c>
      <c r="E88" s="1">
        <v>212</v>
      </c>
      <c r="F88" s="1">
        <v>110</v>
      </c>
      <c r="G88" s="2">
        <v>0.51886792452830188</v>
      </c>
    </row>
    <row r="89" spans="1:7" x14ac:dyDescent="0.45">
      <c r="A89" s="3">
        <v>45978</v>
      </c>
      <c r="B89" s="1" t="s">
        <v>13</v>
      </c>
      <c r="C89" s="1" t="s">
        <v>11</v>
      </c>
      <c r="D89" s="1">
        <v>5953</v>
      </c>
      <c r="E89" s="1">
        <v>308</v>
      </c>
      <c r="F89" s="1">
        <v>24</v>
      </c>
      <c r="G89" s="2">
        <v>7.792207792207792E-2</v>
      </c>
    </row>
    <row r="90" spans="1:7" x14ac:dyDescent="0.45">
      <c r="A90" s="3">
        <v>45939</v>
      </c>
      <c r="B90" s="1" t="s">
        <v>13</v>
      </c>
      <c r="C90" s="1" t="s">
        <v>11</v>
      </c>
      <c r="D90" s="1">
        <v>2825</v>
      </c>
      <c r="E90" s="1">
        <v>175</v>
      </c>
      <c r="F90" s="1">
        <v>98</v>
      </c>
      <c r="G90" s="2">
        <v>0.56000000000000005</v>
      </c>
    </row>
    <row r="91" spans="1:7" x14ac:dyDescent="0.45">
      <c r="A91" s="3">
        <v>45972</v>
      </c>
      <c r="B91" s="1" t="s">
        <v>14</v>
      </c>
      <c r="C91" s="1" t="s">
        <v>7</v>
      </c>
      <c r="D91" s="1">
        <v>5254</v>
      </c>
      <c r="E91" s="1">
        <v>316</v>
      </c>
      <c r="F91" s="1">
        <v>229</v>
      </c>
      <c r="G91" s="2">
        <v>0.72468354430379744</v>
      </c>
    </row>
    <row r="92" spans="1:7" x14ac:dyDescent="0.45">
      <c r="A92" s="3">
        <v>46005</v>
      </c>
      <c r="B92" s="1" t="s">
        <v>14</v>
      </c>
      <c r="C92" s="1" t="s">
        <v>8</v>
      </c>
      <c r="D92" s="1">
        <v>5208</v>
      </c>
      <c r="E92" s="1">
        <v>367</v>
      </c>
      <c r="F92" s="1">
        <v>112</v>
      </c>
      <c r="G92" s="2">
        <v>0.30517711171662126</v>
      </c>
    </row>
    <row r="93" spans="1:7" x14ac:dyDescent="0.45">
      <c r="A93" s="3">
        <v>45904</v>
      </c>
      <c r="B93" s="1" t="s">
        <v>14</v>
      </c>
      <c r="C93" s="1" t="s">
        <v>8</v>
      </c>
      <c r="D93" s="1">
        <v>3657</v>
      </c>
      <c r="E93" s="1">
        <v>311</v>
      </c>
      <c r="F93" s="1">
        <v>70</v>
      </c>
      <c r="G93" s="2">
        <v>0.22508038585209003</v>
      </c>
    </row>
    <row r="94" spans="1:7" x14ac:dyDescent="0.45">
      <c r="A94" s="3">
        <v>45981</v>
      </c>
      <c r="B94" s="1" t="s">
        <v>14</v>
      </c>
      <c r="C94" s="1" t="s">
        <v>8</v>
      </c>
      <c r="D94" s="1">
        <v>5355</v>
      </c>
      <c r="E94" s="1">
        <v>393</v>
      </c>
      <c r="F94" s="1">
        <v>4</v>
      </c>
      <c r="G94" s="2">
        <v>1.0178117048346057E-2</v>
      </c>
    </row>
    <row r="95" spans="1:7" x14ac:dyDescent="0.45">
      <c r="A95" s="3">
        <v>46019</v>
      </c>
      <c r="B95" s="1" t="s">
        <v>14</v>
      </c>
      <c r="C95" s="1" t="s">
        <v>8</v>
      </c>
      <c r="D95" s="1">
        <v>7058</v>
      </c>
      <c r="E95" s="1">
        <v>115</v>
      </c>
      <c r="F95" s="1">
        <v>11</v>
      </c>
      <c r="G95" s="2">
        <v>9.5652173913043481E-2</v>
      </c>
    </row>
    <row r="96" spans="1:7" x14ac:dyDescent="0.45">
      <c r="A96" s="3">
        <v>45931</v>
      </c>
      <c r="B96" s="1" t="s">
        <v>14</v>
      </c>
      <c r="C96" s="1" t="s">
        <v>8</v>
      </c>
      <c r="D96" s="1">
        <v>7255</v>
      </c>
      <c r="E96" s="1">
        <v>320</v>
      </c>
      <c r="F96" s="1">
        <v>265</v>
      </c>
      <c r="G96" s="2">
        <v>0.828125</v>
      </c>
    </row>
    <row r="97" spans="1:7" x14ac:dyDescent="0.45">
      <c r="A97" s="3">
        <v>45890</v>
      </c>
      <c r="B97" s="1" t="s">
        <v>14</v>
      </c>
      <c r="C97" s="1" t="s">
        <v>8</v>
      </c>
      <c r="D97" s="1">
        <v>4029</v>
      </c>
      <c r="E97" s="1">
        <v>372</v>
      </c>
      <c r="F97" s="1">
        <v>270</v>
      </c>
      <c r="G97" s="2">
        <v>0.72580645161290325</v>
      </c>
    </row>
    <row r="98" spans="1:7" x14ac:dyDescent="0.45">
      <c r="A98" s="3">
        <v>45888</v>
      </c>
      <c r="B98" s="1" t="s">
        <v>14</v>
      </c>
      <c r="C98" s="1" t="s">
        <v>9</v>
      </c>
      <c r="D98" s="1">
        <v>2705</v>
      </c>
      <c r="E98" s="1">
        <v>520</v>
      </c>
      <c r="F98" s="1">
        <v>101</v>
      </c>
      <c r="G98" s="2">
        <v>0.19423076923076923</v>
      </c>
    </row>
    <row r="99" spans="1:7" x14ac:dyDescent="0.45">
      <c r="A99" s="3">
        <v>45872</v>
      </c>
      <c r="B99" s="1" t="s">
        <v>14</v>
      </c>
      <c r="C99" s="1" t="s">
        <v>9</v>
      </c>
      <c r="D99" s="1">
        <v>6156</v>
      </c>
      <c r="E99" s="1">
        <v>300</v>
      </c>
      <c r="F99" s="1">
        <v>292</v>
      </c>
      <c r="G99" s="2">
        <v>0.97333333333333338</v>
      </c>
    </row>
    <row r="100" spans="1:7" x14ac:dyDescent="0.45">
      <c r="A100" s="3">
        <v>45954</v>
      </c>
      <c r="B100" s="1" t="s">
        <v>14</v>
      </c>
      <c r="C100" s="1" t="s">
        <v>9</v>
      </c>
      <c r="D100" s="1">
        <v>2073</v>
      </c>
      <c r="E100" s="1">
        <v>401</v>
      </c>
      <c r="F100" s="1">
        <v>106</v>
      </c>
      <c r="G100" s="2">
        <v>0.26433915211970077</v>
      </c>
    </row>
    <row r="101" spans="1:7" x14ac:dyDescent="0.45">
      <c r="A101" s="3">
        <v>45907</v>
      </c>
      <c r="B101" s="1" t="s">
        <v>14</v>
      </c>
      <c r="C101" s="1" t="s">
        <v>9</v>
      </c>
      <c r="D101" s="1">
        <v>6123</v>
      </c>
      <c r="E101" s="1">
        <v>188</v>
      </c>
      <c r="F101" s="1">
        <v>56</v>
      </c>
      <c r="G101" s="2">
        <v>0.2978723404255319</v>
      </c>
    </row>
    <row r="102" spans="1:7" x14ac:dyDescent="0.45">
      <c r="A102" s="3">
        <v>45946</v>
      </c>
      <c r="B102" s="1" t="s">
        <v>14</v>
      </c>
      <c r="C102" s="1" t="s">
        <v>10</v>
      </c>
      <c r="D102" s="1">
        <v>3888</v>
      </c>
      <c r="E102" s="1">
        <v>248</v>
      </c>
      <c r="F102" s="1">
        <v>26</v>
      </c>
      <c r="G102" s="2">
        <v>0.10483870967741936</v>
      </c>
    </row>
    <row r="103" spans="1:7" x14ac:dyDescent="0.45">
      <c r="A103" s="3">
        <v>45930</v>
      </c>
      <c r="B103" s="1" t="s">
        <v>14</v>
      </c>
      <c r="C103" s="1" t="s">
        <v>10</v>
      </c>
      <c r="D103" s="1">
        <v>6563</v>
      </c>
      <c r="E103" s="1">
        <v>288</v>
      </c>
      <c r="F103" s="1">
        <v>245</v>
      </c>
      <c r="G103" s="2">
        <v>0.85069444444444442</v>
      </c>
    </row>
    <row r="104" spans="1:7" x14ac:dyDescent="0.45">
      <c r="A104" s="3">
        <v>45883</v>
      </c>
      <c r="B104" s="1" t="s">
        <v>14</v>
      </c>
      <c r="C104" s="1" t="s">
        <v>10</v>
      </c>
      <c r="D104" s="1">
        <v>1800</v>
      </c>
      <c r="E104" s="1">
        <v>258</v>
      </c>
      <c r="F104" s="1">
        <v>135</v>
      </c>
      <c r="G104" s="2">
        <v>0.52325581395348841</v>
      </c>
    </row>
    <row r="105" spans="1:7" x14ac:dyDescent="0.45">
      <c r="A105" s="3">
        <v>45987</v>
      </c>
      <c r="B105" s="1" t="s">
        <v>14</v>
      </c>
      <c r="C105" s="1" t="s">
        <v>10</v>
      </c>
      <c r="D105" s="1">
        <v>3836</v>
      </c>
      <c r="E105" s="1">
        <v>455</v>
      </c>
      <c r="F105" s="1">
        <v>98</v>
      </c>
      <c r="G105" s="2">
        <v>0.2153846153846154</v>
      </c>
    </row>
    <row r="106" spans="1:7" x14ac:dyDescent="0.45">
      <c r="A106" s="3">
        <v>45957</v>
      </c>
      <c r="B106" s="1" t="s">
        <v>14</v>
      </c>
      <c r="C106" s="1" t="s">
        <v>10</v>
      </c>
      <c r="D106" s="1">
        <v>4422</v>
      </c>
      <c r="E106" s="1">
        <v>98</v>
      </c>
      <c r="F106" s="1">
        <v>49</v>
      </c>
      <c r="G106" s="2">
        <v>0.5</v>
      </c>
    </row>
    <row r="107" spans="1:7" x14ac:dyDescent="0.45">
      <c r="A107" s="3">
        <v>45893</v>
      </c>
      <c r="B107" s="1" t="s">
        <v>14</v>
      </c>
      <c r="C107" s="1" t="s">
        <v>10</v>
      </c>
      <c r="D107" s="1">
        <v>4674</v>
      </c>
      <c r="E107" s="1">
        <v>125</v>
      </c>
      <c r="F107" s="1">
        <v>37</v>
      </c>
      <c r="G107" s="2">
        <v>0.29599999999999999</v>
      </c>
    </row>
    <row r="108" spans="1:7" x14ac:dyDescent="0.45">
      <c r="A108" s="3">
        <v>45885</v>
      </c>
      <c r="B108" s="1" t="s">
        <v>14</v>
      </c>
      <c r="C108" s="1" t="s">
        <v>10</v>
      </c>
      <c r="D108" s="1">
        <v>6101</v>
      </c>
      <c r="E108" s="1">
        <v>413</v>
      </c>
      <c r="F108" s="1">
        <v>73</v>
      </c>
      <c r="G108" s="2">
        <v>0.17675544794188863</v>
      </c>
    </row>
    <row r="109" spans="1:7" x14ac:dyDescent="0.45">
      <c r="A109" s="3">
        <v>45876</v>
      </c>
      <c r="B109" s="1" t="s">
        <v>14</v>
      </c>
      <c r="C109" s="1" t="s">
        <v>11</v>
      </c>
      <c r="D109" s="1">
        <v>1800</v>
      </c>
      <c r="E109" s="1">
        <v>239</v>
      </c>
      <c r="F109" s="1">
        <v>221</v>
      </c>
      <c r="G109" s="2">
        <v>0.92468619246861927</v>
      </c>
    </row>
    <row r="110" spans="1:7" x14ac:dyDescent="0.45">
      <c r="A110" s="3">
        <v>45908</v>
      </c>
      <c r="B110" s="1" t="s">
        <v>14</v>
      </c>
      <c r="C110" s="1" t="s">
        <v>11</v>
      </c>
      <c r="D110" s="1">
        <v>6880</v>
      </c>
      <c r="E110" s="1">
        <v>105</v>
      </c>
      <c r="F110" s="1">
        <v>89</v>
      </c>
      <c r="G110" s="2">
        <v>0.84761904761904761</v>
      </c>
    </row>
    <row r="111" spans="1:7" x14ac:dyDescent="0.45">
      <c r="A111" s="3">
        <v>45903</v>
      </c>
      <c r="B111" s="1" t="s">
        <v>14</v>
      </c>
      <c r="C111" s="1" t="s">
        <v>11</v>
      </c>
      <c r="D111" s="1">
        <v>2231</v>
      </c>
      <c r="E111" s="1">
        <v>391</v>
      </c>
      <c r="F111" s="1">
        <v>195</v>
      </c>
      <c r="G111" s="2">
        <v>0.49872122762148335</v>
      </c>
    </row>
    <row r="112" spans="1:7" x14ac:dyDescent="0.45">
      <c r="A112" s="3">
        <v>45915</v>
      </c>
      <c r="B112" s="1" t="s">
        <v>14</v>
      </c>
      <c r="C112" s="1" t="s">
        <v>11</v>
      </c>
      <c r="D112" s="1">
        <v>1874</v>
      </c>
      <c r="E112" s="1">
        <v>406</v>
      </c>
      <c r="F112" s="1">
        <v>238</v>
      </c>
      <c r="G112" s="2">
        <v>0.58620689655172409</v>
      </c>
    </row>
    <row r="113" spans="1:7" x14ac:dyDescent="0.45">
      <c r="A113" s="3">
        <v>45916</v>
      </c>
      <c r="B113" s="1" t="s">
        <v>14</v>
      </c>
      <c r="C113" s="1" t="s">
        <v>11</v>
      </c>
      <c r="D113" s="1">
        <v>5196</v>
      </c>
      <c r="E113" s="1">
        <v>285</v>
      </c>
      <c r="F113" s="1">
        <v>89</v>
      </c>
      <c r="G113" s="2">
        <v>0.31228070175438599</v>
      </c>
    </row>
    <row r="114" spans="1:7" x14ac:dyDescent="0.45">
      <c r="A114" s="3">
        <v>45891</v>
      </c>
      <c r="B114" s="1" t="s">
        <v>14</v>
      </c>
      <c r="C114" s="1" t="s">
        <v>11</v>
      </c>
      <c r="D114" s="1">
        <v>5473</v>
      </c>
      <c r="E114" s="1">
        <v>258</v>
      </c>
      <c r="F114" s="1">
        <v>195</v>
      </c>
      <c r="G114" s="2">
        <v>0.7558139534883721</v>
      </c>
    </row>
    <row r="115" spans="1:7" x14ac:dyDescent="0.45">
      <c r="A115" s="3">
        <v>45975</v>
      </c>
      <c r="B115" s="1" t="s">
        <v>14</v>
      </c>
      <c r="C115" s="1" t="s">
        <v>11</v>
      </c>
      <c r="D115" s="1">
        <v>3748</v>
      </c>
      <c r="E115" s="1">
        <v>156</v>
      </c>
      <c r="F115" s="1">
        <v>73</v>
      </c>
      <c r="G115" s="2">
        <v>0.46794871794871795</v>
      </c>
    </row>
    <row r="116" spans="1:7" x14ac:dyDescent="0.45">
      <c r="A116" s="3">
        <v>45926</v>
      </c>
      <c r="B116" s="1" t="s">
        <v>14</v>
      </c>
      <c r="C116" s="1" t="s">
        <v>11</v>
      </c>
      <c r="D116" s="1">
        <v>3615</v>
      </c>
      <c r="E116" s="1">
        <v>360</v>
      </c>
      <c r="F116" s="1">
        <v>223</v>
      </c>
      <c r="G116" s="2">
        <v>0.61944444444444446</v>
      </c>
    </row>
    <row r="117" spans="1:7" x14ac:dyDescent="0.45">
      <c r="A117" s="3">
        <v>45984</v>
      </c>
      <c r="B117" s="1" t="s">
        <v>15</v>
      </c>
      <c r="C117" s="1" t="s">
        <v>7</v>
      </c>
      <c r="D117" s="1">
        <v>3012</v>
      </c>
      <c r="E117" s="1">
        <v>307</v>
      </c>
      <c r="F117" s="1">
        <v>264</v>
      </c>
      <c r="G117" s="2">
        <v>0.85993485342019549</v>
      </c>
    </row>
    <row r="118" spans="1:7" x14ac:dyDescent="0.45">
      <c r="A118" s="3">
        <v>45953</v>
      </c>
      <c r="B118" s="1" t="s">
        <v>15</v>
      </c>
      <c r="C118" s="1" t="s">
        <v>7</v>
      </c>
      <c r="D118" s="1">
        <v>4000</v>
      </c>
      <c r="E118" s="1">
        <v>167</v>
      </c>
      <c r="F118" s="1">
        <v>132</v>
      </c>
      <c r="G118" s="2">
        <v>0.79041916167664672</v>
      </c>
    </row>
    <row r="119" spans="1:7" x14ac:dyDescent="0.45">
      <c r="A119" s="3">
        <v>45961</v>
      </c>
      <c r="B119" s="1" t="s">
        <v>15</v>
      </c>
      <c r="C119" s="1" t="s">
        <v>8</v>
      </c>
      <c r="D119" s="1">
        <v>4360</v>
      </c>
      <c r="E119" s="1">
        <v>463</v>
      </c>
      <c r="F119" s="1">
        <v>56</v>
      </c>
      <c r="G119" s="2">
        <v>0.12095032397408208</v>
      </c>
    </row>
    <row r="120" spans="1:7" x14ac:dyDescent="0.45">
      <c r="A120" s="3">
        <v>45898</v>
      </c>
      <c r="B120" s="1" t="s">
        <v>15</v>
      </c>
      <c r="C120" s="1" t="s">
        <v>8</v>
      </c>
      <c r="D120" s="1">
        <v>2420</v>
      </c>
      <c r="E120" s="1">
        <v>472</v>
      </c>
      <c r="F120" s="1">
        <v>368</v>
      </c>
      <c r="G120" s="2">
        <v>0.77966101694915257</v>
      </c>
    </row>
    <row r="121" spans="1:7" x14ac:dyDescent="0.45">
      <c r="A121" s="3">
        <v>45988</v>
      </c>
      <c r="B121" s="1" t="s">
        <v>15</v>
      </c>
      <c r="C121" s="1" t="s">
        <v>8</v>
      </c>
      <c r="D121" s="1">
        <v>2196</v>
      </c>
      <c r="E121" s="1">
        <v>307</v>
      </c>
      <c r="F121" s="1">
        <v>6</v>
      </c>
      <c r="G121" s="2">
        <v>1.9543973941368076E-2</v>
      </c>
    </row>
    <row r="122" spans="1:7" x14ac:dyDescent="0.45">
      <c r="A122" s="3">
        <v>45976</v>
      </c>
      <c r="B122" s="1" t="s">
        <v>15</v>
      </c>
      <c r="C122" s="1" t="s">
        <v>8</v>
      </c>
      <c r="D122" s="1">
        <v>5819</v>
      </c>
      <c r="E122" s="1">
        <v>358</v>
      </c>
      <c r="F122" s="1">
        <v>232</v>
      </c>
      <c r="G122" s="2">
        <v>0.64804469273743015</v>
      </c>
    </row>
    <row r="123" spans="1:7" x14ac:dyDescent="0.45">
      <c r="A123" s="3">
        <v>46018</v>
      </c>
      <c r="B123" s="1" t="s">
        <v>15</v>
      </c>
      <c r="C123" s="1" t="s">
        <v>8</v>
      </c>
      <c r="D123" s="1">
        <v>3817</v>
      </c>
      <c r="E123" s="1">
        <v>339</v>
      </c>
      <c r="F123" s="1">
        <v>115</v>
      </c>
      <c r="G123" s="2">
        <v>0.33923303834808261</v>
      </c>
    </row>
    <row r="124" spans="1:7" x14ac:dyDescent="0.45">
      <c r="A124" s="3">
        <v>45971</v>
      </c>
      <c r="B124" s="1" t="s">
        <v>15</v>
      </c>
      <c r="C124" s="1" t="s">
        <v>8</v>
      </c>
      <c r="D124" s="1">
        <v>2856</v>
      </c>
      <c r="E124" s="1">
        <v>393</v>
      </c>
      <c r="F124" s="1">
        <v>305</v>
      </c>
      <c r="G124" s="2">
        <v>0.77608142493638677</v>
      </c>
    </row>
    <row r="125" spans="1:7" x14ac:dyDescent="0.45">
      <c r="A125" s="3">
        <v>45963</v>
      </c>
      <c r="B125" s="1" t="s">
        <v>15</v>
      </c>
      <c r="C125" s="1" t="s">
        <v>9</v>
      </c>
      <c r="D125" s="1">
        <v>7600</v>
      </c>
      <c r="E125" s="1">
        <v>520</v>
      </c>
      <c r="F125" s="1">
        <v>73</v>
      </c>
      <c r="G125" s="2">
        <v>0.14038461538461539</v>
      </c>
    </row>
    <row r="126" spans="1:7" x14ac:dyDescent="0.45">
      <c r="A126" s="3">
        <v>45947</v>
      </c>
      <c r="B126" s="1" t="s">
        <v>15</v>
      </c>
      <c r="C126" s="1" t="s">
        <v>9</v>
      </c>
      <c r="D126" s="1">
        <v>4325</v>
      </c>
      <c r="E126" s="1">
        <v>520</v>
      </c>
      <c r="F126" s="1">
        <v>73</v>
      </c>
      <c r="G126" s="2">
        <v>0.14038461538461539</v>
      </c>
    </row>
    <row r="127" spans="1:7" x14ac:dyDescent="0.45">
      <c r="A127" s="3">
        <v>45974</v>
      </c>
      <c r="B127" s="1" t="s">
        <v>15</v>
      </c>
      <c r="C127" s="1" t="s">
        <v>9</v>
      </c>
      <c r="D127" s="1">
        <v>3362</v>
      </c>
      <c r="E127" s="1">
        <v>204</v>
      </c>
      <c r="F127" s="1">
        <v>59</v>
      </c>
      <c r="G127" s="2">
        <v>0.28921568627450983</v>
      </c>
    </row>
    <row r="128" spans="1:7" x14ac:dyDescent="0.45">
      <c r="A128" s="3">
        <v>45884</v>
      </c>
      <c r="B128" s="1" t="s">
        <v>15</v>
      </c>
      <c r="C128" s="1" t="s">
        <v>9</v>
      </c>
      <c r="D128" s="1">
        <v>2942</v>
      </c>
      <c r="E128" s="1">
        <v>133</v>
      </c>
      <c r="F128" s="1">
        <v>125</v>
      </c>
      <c r="G128" s="2">
        <v>0.93984962406015038</v>
      </c>
    </row>
    <row r="129" spans="1:7" x14ac:dyDescent="0.45">
      <c r="A129" s="3">
        <v>45917</v>
      </c>
      <c r="B129" s="1" t="s">
        <v>15</v>
      </c>
      <c r="C129" s="1" t="s">
        <v>9</v>
      </c>
      <c r="D129" s="1">
        <v>6487</v>
      </c>
      <c r="E129" s="1">
        <v>206</v>
      </c>
      <c r="F129" s="1">
        <v>166</v>
      </c>
      <c r="G129" s="2">
        <v>0.80582524271844658</v>
      </c>
    </row>
    <row r="130" spans="1:7" x14ac:dyDescent="0.45">
      <c r="A130" s="3">
        <v>45993</v>
      </c>
      <c r="B130" s="1" t="s">
        <v>15</v>
      </c>
      <c r="C130" s="1" t="s">
        <v>9</v>
      </c>
      <c r="D130" s="1">
        <v>7550</v>
      </c>
      <c r="E130" s="1">
        <v>356</v>
      </c>
      <c r="F130" s="1">
        <v>83</v>
      </c>
      <c r="G130" s="2">
        <v>0.23314606741573032</v>
      </c>
    </row>
    <row r="131" spans="1:7" x14ac:dyDescent="0.45">
      <c r="A131" s="3">
        <v>45920</v>
      </c>
      <c r="B131" s="1" t="s">
        <v>15</v>
      </c>
      <c r="C131" s="1" t="s">
        <v>9</v>
      </c>
      <c r="D131" s="1">
        <v>7182</v>
      </c>
      <c r="E131" s="1">
        <v>295</v>
      </c>
      <c r="F131" s="1">
        <v>159</v>
      </c>
      <c r="G131" s="2">
        <v>0.53898305084745768</v>
      </c>
    </row>
    <row r="132" spans="1:7" x14ac:dyDescent="0.45">
      <c r="A132" s="3">
        <v>45943</v>
      </c>
      <c r="B132" s="1" t="s">
        <v>15</v>
      </c>
      <c r="C132" s="1" t="s">
        <v>9</v>
      </c>
      <c r="D132" s="1">
        <v>3202</v>
      </c>
      <c r="E132" s="1">
        <v>266</v>
      </c>
      <c r="F132" s="1">
        <v>148</v>
      </c>
      <c r="G132" s="2">
        <v>0.55639097744360899</v>
      </c>
    </row>
    <row r="133" spans="1:7" x14ac:dyDescent="0.45">
      <c r="A133" s="3">
        <v>45935</v>
      </c>
      <c r="B133" s="1" t="s">
        <v>15</v>
      </c>
      <c r="C133" s="1" t="s">
        <v>9</v>
      </c>
      <c r="D133" s="1">
        <v>1996</v>
      </c>
      <c r="E133" s="1">
        <v>367</v>
      </c>
      <c r="F133" s="1">
        <v>202</v>
      </c>
      <c r="G133" s="2">
        <v>0.55040871934604907</v>
      </c>
    </row>
    <row r="134" spans="1:7" x14ac:dyDescent="0.45">
      <c r="A134" s="3">
        <v>45985</v>
      </c>
      <c r="B134" s="1" t="s">
        <v>15</v>
      </c>
      <c r="C134" s="1" t="s">
        <v>9</v>
      </c>
      <c r="D134" s="1">
        <v>4340</v>
      </c>
      <c r="E134" s="1">
        <v>355</v>
      </c>
      <c r="F134" s="1">
        <v>36</v>
      </c>
      <c r="G134" s="2">
        <v>0.10140845070422536</v>
      </c>
    </row>
    <row r="135" spans="1:7" x14ac:dyDescent="0.45">
      <c r="A135" s="3">
        <v>45928</v>
      </c>
      <c r="B135" s="1" t="s">
        <v>15</v>
      </c>
      <c r="C135" s="1" t="s">
        <v>9</v>
      </c>
      <c r="D135" s="1">
        <v>6931</v>
      </c>
      <c r="E135" s="1">
        <v>248</v>
      </c>
      <c r="F135" s="1">
        <v>189</v>
      </c>
      <c r="G135" s="2">
        <v>0.76209677419354838</v>
      </c>
    </row>
    <row r="136" spans="1:7" x14ac:dyDescent="0.45">
      <c r="A136" s="3">
        <v>45881</v>
      </c>
      <c r="B136" s="1" t="s">
        <v>15</v>
      </c>
      <c r="C136" s="1" t="s">
        <v>9</v>
      </c>
      <c r="D136" s="1">
        <v>4936</v>
      </c>
      <c r="E136" s="1">
        <v>449</v>
      </c>
      <c r="F136" s="1">
        <v>430</v>
      </c>
      <c r="G136" s="2">
        <v>0.95768374164810688</v>
      </c>
    </row>
    <row r="137" spans="1:7" x14ac:dyDescent="0.45">
      <c r="A137" s="3">
        <v>46000</v>
      </c>
      <c r="B137" s="1" t="s">
        <v>15</v>
      </c>
      <c r="C137" s="1" t="s">
        <v>10</v>
      </c>
      <c r="D137" s="1">
        <v>7413</v>
      </c>
      <c r="E137" s="1">
        <v>159</v>
      </c>
      <c r="F137" s="1">
        <v>78</v>
      </c>
      <c r="G137" s="2">
        <v>0.49056603773584906</v>
      </c>
    </row>
    <row r="138" spans="1:7" x14ac:dyDescent="0.45">
      <c r="A138" s="3">
        <v>45965</v>
      </c>
      <c r="B138" s="1" t="s">
        <v>15</v>
      </c>
      <c r="C138" s="1" t="s">
        <v>10</v>
      </c>
      <c r="D138" s="1">
        <v>3466</v>
      </c>
      <c r="E138" s="1">
        <v>183</v>
      </c>
      <c r="F138" s="1">
        <v>113</v>
      </c>
      <c r="G138" s="2">
        <v>0.61748633879781423</v>
      </c>
    </row>
    <row r="139" spans="1:7" x14ac:dyDescent="0.45">
      <c r="A139" s="3">
        <v>46007</v>
      </c>
      <c r="B139" s="1" t="s">
        <v>15</v>
      </c>
      <c r="C139" s="1" t="s">
        <v>10</v>
      </c>
      <c r="D139" s="1">
        <v>7060</v>
      </c>
      <c r="E139" s="1">
        <v>386</v>
      </c>
      <c r="F139" s="1">
        <v>339</v>
      </c>
      <c r="G139" s="2">
        <v>0.87823834196891193</v>
      </c>
    </row>
    <row r="140" spans="1:7" x14ac:dyDescent="0.45">
      <c r="A140" s="3">
        <v>46008</v>
      </c>
      <c r="B140" s="1" t="s">
        <v>15</v>
      </c>
      <c r="C140" s="1" t="s">
        <v>10</v>
      </c>
      <c r="D140" s="1">
        <v>3318</v>
      </c>
      <c r="E140" s="1">
        <v>244</v>
      </c>
      <c r="F140" s="1">
        <v>147</v>
      </c>
      <c r="G140" s="2">
        <v>0.60245901639344257</v>
      </c>
    </row>
    <row r="141" spans="1:7" x14ac:dyDescent="0.45">
      <c r="A141" s="3">
        <v>46014</v>
      </c>
      <c r="B141" s="1" t="s">
        <v>15</v>
      </c>
      <c r="C141" s="1" t="s">
        <v>10</v>
      </c>
      <c r="D141" s="1">
        <v>3382</v>
      </c>
      <c r="E141" s="1">
        <v>351</v>
      </c>
      <c r="F141" s="1">
        <v>336</v>
      </c>
      <c r="G141" s="2">
        <v>0.95726495726495731</v>
      </c>
    </row>
    <row r="142" spans="1:7" x14ac:dyDescent="0.45">
      <c r="A142" s="3">
        <v>45990</v>
      </c>
      <c r="B142" s="1" t="s">
        <v>15</v>
      </c>
      <c r="C142" s="1" t="s">
        <v>10</v>
      </c>
      <c r="D142" s="1">
        <v>4090</v>
      </c>
      <c r="E142" s="1">
        <v>287</v>
      </c>
      <c r="F142" s="1">
        <v>21</v>
      </c>
      <c r="G142" s="2">
        <v>7.3170731707317069E-2</v>
      </c>
    </row>
    <row r="143" spans="1:7" x14ac:dyDescent="0.45">
      <c r="A143" s="3">
        <v>45992</v>
      </c>
      <c r="B143" s="1" t="s">
        <v>15</v>
      </c>
      <c r="C143" s="1" t="s">
        <v>10</v>
      </c>
      <c r="D143" s="1">
        <v>3114</v>
      </c>
      <c r="E143" s="1">
        <v>355</v>
      </c>
      <c r="F143" s="1">
        <v>55</v>
      </c>
      <c r="G143" s="2">
        <v>0.15492957746478872</v>
      </c>
    </row>
    <row r="144" spans="1:7" x14ac:dyDescent="0.45">
      <c r="A144" s="3">
        <v>46006</v>
      </c>
      <c r="B144" s="1" t="s">
        <v>15</v>
      </c>
      <c r="C144" s="1" t="s">
        <v>10</v>
      </c>
      <c r="D144" s="1">
        <v>6271</v>
      </c>
      <c r="E144" s="1">
        <v>400</v>
      </c>
      <c r="F144" s="1">
        <v>348</v>
      </c>
      <c r="G144" s="2">
        <v>0.87</v>
      </c>
    </row>
    <row r="145" spans="1:7" x14ac:dyDescent="0.45">
      <c r="A145" s="3">
        <v>46009</v>
      </c>
      <c r="B145" s="1" t="s">
        <v>15</v>
      </c>
      <c r="C145" s="1" t="s">
        <v>10</v>
      </c>
      <c r="D145" s="1">
        <v>2598</v>
      </c>
      <c r="E145" s="1">
        <v>272</v>
      </c>
      <c r="F145" s="1">
        <v>28</v>
      </c>
      <c r="G145" s="2">
        <v>0.10294117647058823</v>
      </c>
    </row>
    <row r="146" spans="1:7" x14ac:dyDescent="0.45">
      <c r="A146" s="3">
        <v>45942</v>
      </c>
      <c r="B146" s="1" t="s">
        <v>15</v>
      </c>
      <c r="C146" s="1" t="s">
        <v>10</v>
      </c>
      <c r="D146" s="1">
        <v>2401</v>
      </c>
      <c r="E146" s="1">
        <v>359</v>
      </c>
      <c r="F146" s="1">
        <v>30</v>
      </c>
      <c r="G146" s="2">
        <v>8.3565459610027856E-2</v>
      </c>
    </row>
    <row r="147" spans="1:7" x14ac:dyDescent="0.45">
      <c r="A147" s="3">
        <v>45989</v>
      </c>
      <c r="B147" s="1" t="s">
        <v>15</v>
      </c>
      <c r="C147" s="1" t="s">
        <v>10</v>
      </c>
      <c r="D147" s="1">
        <v>4811</v>
      </c>
      <c r="E147" s="1">
        <v>132</v>
      </c>
      <c r="F147" s="1">
        <v>120</v>
      </c>
      <c r="G147" s="2">
        <v>0.90909090909090906</v>
      </c>
    </row>
    <row r="148" spans="1:7" x14ac:dyDescent="0.45">
      <c r="A148" s="3">
        <v>45967</v>
      </c>
      <c r="B148" s="1" t="s">
        <v>15</v>
      </c>
      <c r="C148" s="1" t="s">
        <v>10</v>
      </c>
      <c r="D148" s="1">
        <v>2522</v>
      </c>
      <c r="E148" s="1">
        <v>192</v>
      </c>
      <c r="F148" s="1">
        <v>54</v>
      </c>
      <c r="G148" s="2">
        <v>0.28125</v>
      </c>
    </row>
    <row r="149" spans="1:7" x14ac:dyDescent="0.45">
      <c r="A149" s="3">
        <v>45923</v>
      </c>
      <c r="B149" s="1" t="s">
        <v>15</v>
      </c>
      <c r="C149" s="1" t="s">
        <v>11</v>
      </c>
      <c r="D149" s="1">
        <v>6132</v>
      </c>
      <c r="E149" s="1">
        <v>187</v>
      </c>
      <c r="F149" s="1">
        <v>35</v>
      </c>
      <c r="G149" s="2">
        <v>0.18716577540106952</v>
      </c>
    </row>
    <row r="150" spans="1:7" x14ac:dyDescent="0.45">
      <c r="A150" s="3">
        <v>45877</v>
      </c>
      <c r="B150" s="1" t="s">
        <v>15</v>
      </c>
      <c r="C150" s="1" t="s">
        <v>11</v>
      </c>
      <c r="D150" s="1">
        <v>4526</v>
      </c>
      <c r="E150" s="1">
        <v>520</v>
      </c>
      <c r="F150" s="1">
        <v>262</v>
      </c>
      <c r="G150" s="2">
        <v>0.50384615384615383</v>
      </c>
    </row>
    <row r="151" spans="1:7" x14ac:dyDescent="0.45">
      <c r="A151" s="3">
        <v>45914</v>
      </c>
      <c r="B151" s="1" t="s">
        <v>15</v>
      </c>
      <c r="C151" s="1" t="s">
        <v>11</v>
      </c>
      <c r="D151" s="1">
        <v>1800</v>
      </c>
      <c r="E151" s="1">
        <v>342</v>
      </c>
      <c r="F151" s="1">
        <v>267</v>
      </c>
      <c r="G151" s="2">
        <v>0.7807017543859649</v>
      </c>
    </row>
    <row r="152" spans="1:7" x14ac:dyDescent="0.45">
      <c r="A152" s="3">
        <v>45984</v>
      </c>
      <c r="B152" s="1" t="s">
        <v>16</v>
      </c>
      <c r="C152" s="1" t="s">
        <v>7</v>
      </c>
      <c r="D152" s="1">
        <v>3537</v>
      </c>
      <c r="E152" s="1">
        <v>273</v>
      </c>
      <c r="F152" s="1">
        <v>258</v>
      </c>
      <c r="G152" s="2">
        <v>0.94505494505494503</v>
      </c>
    </row>
    <row r="153" spans="1:7" x14ac:dyDescent="0.45">
      <c r="A153" s="3">
        <v>45953</v>
      </c>
      <c r="B153" s="1" t="s">
        <v>16</v>
      </c>
      <c r="C153" s="1" t="s">
        <v>7</v>
      </c>
      <c r="D153" s="1">
        <v>4714</v>
      </c>
      <c r="E153" s="1">
        <v>168</v>
      </c>
      <c r="F153" s="1">
        <v>107</v>
      </c>
      <c r="G153" s="2">
        <v>0.63690476190476186</v>
      </c>
    </row>
    <row r="154" spans="1:7" x14ac:dyDescent="0.45">
      <c r="A154" s="3">
        <v>45961</v>
      </c>
      <c r="B154" s="1" t="s">
        <v>16</v>
      </c>
      <c r="C154" s="1" t="s">
        <v>8</v>
      </c>
      <c r="D154" s="1">
        <v>4260</v>
      </c>
      <c r="E154" s="1">
        <v>513</v>
      </c>
      <c r="F154" s="1">
        <v>67</v>
      </c>
      <c r="G154" s="2">
        <v>0.13060428849902533</v>
      </c>
    </row>
    <row r="155" spans="1:7" x14ac:dyDescent="0.45">
      <c r="A155" s="3">
        <v>45898</v>
      </c>
      <c r="B155" s="1" t="s">
        <v>16</v>
      </c>
      <c r="C155" s="1" t="s">
        <v>8</v>
      </c>
      <c r="D155" s="1">
        <v>2343</v>
      </c>
      <c r="E155" s="1">
        <v>417</v>
      </c>
      <c r="F155" s="1">
        <v>336</v>
      </c>
      <c r="G155" s="2">
        <v>0.80575539568345322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B88DC-3CA9-4712-BDF4-E203ED82B449}">
  <dimension ref="A1:A4"/>
  <sheetViews>
    <sheetView workbookViewId="0">
      <selection activeCell="A2" sqref="A2"/>
    </sheetView>
  </sheetViews>
  <sheetFormatPr defaultRowHeight="14.25" x14ac:dyDescent="0.45"/>
  <cols>
    <col min="1" max="1" width="81.9296875" customWidth="1"/>
  </cols>
  <sheetData>
    <row r="1" spans="1:1" x14ac:dyDescent="0.45">
      <c r="A1" t="s">
        <v>18</v>
      </c>
    </row>
    <row r="2" spans="1:1" x14ac:dyDescent="0.45">
      <c r="A2" t="str" cm="1">
        <f t="array" aca="1" ref="A2" ca="1">LEFT(CELL("filename",$A$1),FIND("[",CELL("filename",$A$1))-1)&amp;"source_data\Marketing_Data.xlsx"</f>
        <v>C:\Users\SURFACE PRO4\Desktop\Power Query Projects\LumaWorks_Retail_PowerQuery_Portfolio\source_data\Marketing_Data.xlsx</v>
      </c>
    </row>
    <row r="4" spans="1:1" x14ac:dyDescent="0.45">
      <c r="A4" t="s">
        <v>19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1DF568F-8A00-4953-97B3-F6316C8DAC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Campaign Metrics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Onyekachi Ejimofor</dc:creator>
  <cp:lastModifiedBy>Onyekachi Ejimofor</cp:lastModifiedBy>
  <dcterms:created xsi:type="dcterms:W3CDTF">2026-10-16T04:49:47Z</dcterms:created>
  <dcterms:modified xsi:type="dcterms:W3CDTF">2026-10-16T13:10:43Z</dcterms:modified>
</cp:coreProperties>
</file>